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NiVi Projects\Data Analysis\"/>
    </mc:Choice>
  </mc:AlternateContent>
  <xr:revisionPtr revIDLastSave="0" documentId="13_ncr:1_{EA63EA03-CE1A-40A0-8EE6-3784C7601CB2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Dataset" sheetId="2" r:id="rId1"/>
    <sheet name="Working sheet" sheetId="3" r:id="rId2"/>
    <sheet name="Final Sheet" sheetId="6" r:id="rId3"/>
  </sheets>
  <definedNames>
    <definedName name="_xlnm._FilterDatabase" localSheetId="2" hidden="1">'Final Sheet'!$A$1:$I$1</definedName>
    <definedName name="_xlnm._FilterDatabase" localSheetId="1" hidden="1">'Working sheet'!$A$1:$U$32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3" l="1"/>
  <c r="K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F3" i="3"/>
  <c r="F4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</calcChain>
</file>

<file path=xl/sharedStrings.xml><?xml version="1.0" encoding="utf-8"?>
<sst xmlns="http://schemas.openxmlformats.org/spreadsheetml/2006/main" count="510" uniqueCount="187">
  <si>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</si>
  <si>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</si>
  <si>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</si>
  <si>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</si>
  <si>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</si>
  <si>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</si>
  <si>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</si>
  <si>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</si>
  <si>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</si>
  <si>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</si>
  <si>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</si>
  <si>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</si>
  <si>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</si>
  <si>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</si>
  <si>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</si>
  <si>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</si>
  <si>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</si>
  <si>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</si>
  <si>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</si>
  <si>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</si>
  <si>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</si>
  <si>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</si>
  <si>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</si>
  <si>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</si>
  <si>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</si>
  <si>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</si>
  <si>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</si>
  <si>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</si>
  <si>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</si>
  <si>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</si>
  <si>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</si>
  <si>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</si>
  <si>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</si>
  <si>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</si>
  <si>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</si>
  <si>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</si>
  <si>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</si>
  <si>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</si>
  <si>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</si>
  <si>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</si>
  <si>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</si>
  <si>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</si>
  <si>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</si>
  <si>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</si>
  <si>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</si>
  <si>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</si>
  <si>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</si>
  <si>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</si>
  <si>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</si>
  <si>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</si>
  <si>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</si>
  <si>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</si>
  <si>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</si>
  <si>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</si>
  <si>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</si>
  <si>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</si>
  <si>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</si>
  <si>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</si>
  <si>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</si>
  <si>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</si>
  <si>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</si>
  <si>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</si>
  <si>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</si>
  <si>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</si>
  <si>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</si>
  <si>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</si>
  <si>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</si>
  <si>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</si>
  <si>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</si>
  <si>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</si>
  <si>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</si>
  <si>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</si>
  <si>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</si>
  <si>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</si>
  <si>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</si>
  <si>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</si>
  <si>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</si>
  <si>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</si>
  <si>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</si>
  <si>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</si>
  <si>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</si>
  <si>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</si>
  <si>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</si>
  <si>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</si>
  <si>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</si>
  <si>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</si>
  <si>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</si>
  <si>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</si>
  <si>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</si>
  <si>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</si>
  <si>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</si>
  <si>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</si>
  <si>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</si>
  <si>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</si>
  <si>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</si>
  <si>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</si>
  <si>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</si>
  <si>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Values:</t>
  </si>
  <si>
    <t>Correcting Inconsistent Data:</t>
  </si>
  <si>
    <t>Removing Duplicates:</t>
  </si>
  <si>
    <t>Splitting and Merging Data:</t>
  </si>
  <si>
    <t>Number Formatting:</t>
  </si>
  <si>
    <t>Conditional Formatting:</t>
  </si>
  <si>
    <t>US</t>
  </si>
  <si>
    <t>Country Code.</t>
  </si>
  <si>
    <t>Manufacturing Date</t>
  </si>
  <si>
    <t>Product Brand</t>
  </si>
  <si>
    <t>28-JAN</t>
  </si>
  <si>
    <t>15-FEB</t>
  </si>
  <si>
    <t>03-MAR</t>
  </si>
  <si>
    <t>11-APR</t>
  </si>
  <si>
    <t>22-MAY</t>
  </si>
  <si>
    <t>07-JUN</t>
  </si>
  <si>
    <t>UK</t>
  </si>
  <si>
    <t>19-JUL</t>
  </si>
  <si>
    <t>23-AUG</t>
  </si>
  <si>
    <t>05-SEP</t>
  </si>
  <si>
    <t>14-OCT</t>
  </si>
  <si>
    <t>17-JUN</t>
  </si>
  <si>
    <t>IN</t>
  </si>
  <si>
    <t>25-NOV</t>
  </si>
  <si>
    <t>AU</t>
  </si>
  <si>
    <t>08-DEC</t>
  </si>
  <si>
    <t>DE</t>
  </si>
  <si>
    <t>18-FEB</t>
  </si>
  <si>
    <t>CA</t>
  </si>
  <si>
    <t>16-APR</t>
  </si>
  <si>
    <t>ES</t>
  </si>
  <si>
    <t>21-AUG</t>
  </si>
  <si>
    <t>20-AUG</t>
  </si>
  <si>
    <t>CN</t>
  </si>
  <si>
    <t>27-JAN</t>
  </si>
  <si>
    <t>IT</t>
  </si>
  <si>
    <t>01-MAR</t>
  </si>
  <si>
    <t>14-AUG</t>
  </si>
  <si>
    <t>14-MAY</t>
  </si>
  <si>
    <t>RU</t>
  </si>
  <si>
    <t>09-JAN</t>
  </si>
  <si>
    <t>BR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</si>
  <si>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</si>
  <si>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</si>
  <si>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</si>
  <si>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</si>
  <si>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</si>
  <si>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</si>
  <si>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</si>
  <si>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</si>
  <si>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FR</t>
  </si>
  <si>
    <t>Price Imputation</t>
  </si>
  <si>
    <t>Price ISBLANK</t>
  </si>
  <si>
    <t>Category ISBLANk</t>
  </si>
  <si>
    <t>Category Imputation</t>
  </si>
  <si>
    <t xml:space="preserve"> 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</si>
  <si>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</si>
  <si>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</si>
  <si>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</si>
  <si>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</si>
  <si>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</si>
  <si>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</si>
  <si>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</si>
  <si>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</si>
  <si>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</si>
  <si>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</si>
  <si>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</si>
  <si>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</si>
  <si>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</si>
  <si>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</si>
  <si>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</si>
  <si>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</si>
  <si>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</si>
  <si>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</si>
  <si>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</si>
  <si>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</si>
  <si>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</si>
  <si>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</si>
  <si>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</si>
  <si>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</si>
  <si>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</si>
  <si>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</si>
  <si>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</si>
  <si>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</si>
  <si>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</si>
  <si>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</si>
  <si>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</si>
  <si>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Uncategorized</t>
  </si>
  <si>
    <r>
      <t xml:space="preserve">Replace with: </t>
    </r>
    <r>
      <rPr>
        <sz val="10"/>
        <color rgb="FF000000"/>
        <rFont val="Arial Unicode MS"/>
        <family val="2"/>
      </rPr>
      <t>Electronics</t>
    </r>
    <r>
      <rPr>
        <sz val="10"/>
        <color rgb="FF000000"/>
        <rFont val="Arial"/>
        <family val="2"/>
        <scheme val="minor"/>
      </rPr>
      <t>.</t>
    </r>
  </si>
  <si>
    <t>3 Duplicate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</si>
</sst>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₹&quot;\ #,##0.00"/>
    <numFmt numFmtId="165" formatCode="[$-F800]dddd\,\ mmmm\ dd\,\ yyyy"/>
    <numFmt numFmtId="166" formatCode="[$-14009]dd\ mmmm\ yyyy;@"/>
  </numFmts>
  <fonts count="1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D0D0D"/>
      <name val="Segoe U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165" fontId="1" fillId="5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165" fontId="0" fillId="0" borderId="0" xfId="0" applyNumberFormat="1" applyFont="1" applyAlignment="1"/>
    <xf numFmtId="0" fontId="5" fillId="0" borderId="0" xfId="0" applyFont="1" applyAlignment="1"/>
    <xf numFmtId="0" fontId="5" fillId="4" borderId="0" xfId="0" applyFont="1" applyFill="1" applyAlignment="1"/>
    <xf numFmtId="0" fontId="0" fillId="0" borderId="0" xfId="0" applyFont="1" applyFill="1" applyAlignment="1"/>
    <xf numFmtId="164" fontId="5" fillId="4" borderId="0" xfId="0" applyNumberFormat="1" applyFont="1" applyFill="1" applyAlignment="1"/>
    <xf numFmtId="0" fontId="8" fillId="0" borderId="0" xfId="0" applyFont="1" applyAlignment="1"/>
    <xf numFmtId="0" fontId="6" fillId="0" borderId="0" xfId="0" applyFont="1"/>
    <xf numFmtId="166" fontId="0" fillId="0" borderId="0" xfId="0" applyNumberFormat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9" fillId="0" borderId="0" xfId="0" applyFont="1" applyAlignment="1"/>
    <xf numFmtId="0" fontId="9" fillId="4" borderId="1" xfId="0" applyFont="1" applyFill="1" applyBorder="1" applyAlignment="1">
      <alignment horizontal="center"/>
    </xf>
    <xf numFmtId="166" fontId="9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166" fontId="0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0" fillId="0" borderId="0" xfId="0" applyFont="1" applyAlignment="1"/>
  </cellXfs>
  <cellStyles count="1">
    <cellStyle name="Normal" xfId="0" builtinId="0"/>
  </cellStyles>
  <dxfs count="2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F14" sqref="F14"/>
    </sheetView>
  </sheetViews>
  <sheetFormatPr defaultColWidth="12.5703125" defaultRowHeight="15" customHeight="1"/>
  <cols>
    <col min="1" max="3" width="12.5703125" customWidth="1"/>
    <col min="4" max="4" width="12.5703125" style="12" customWidth="1"/>
    <col min="5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10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11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10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11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10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11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10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11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10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11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10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11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10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11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10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11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10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11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10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11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10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11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10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11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10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11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10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11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10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11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10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11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10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11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2069-3EB3-47DF-BF5D-FB141191C9D5}">
  <dimension ref="A1:Q32"/>
  <sheetViews>
    <sheetView zoomScaleNormal="100" workbookViewId="0">
      <selection activeCell="O13" sqref="O13"/>
    </sheetView>
  </sheetViews>
  <sheetFormatPr defaultRowHeight="12.75"/>
  <cols>
    <col min="1" max="1" width="10.85546875" bestFit="1" customWidth="1"/>
    <col min="2" max="2" width="20.140625" style="15" bestFit="1" customWidth="1"/>
    <col min="3" max="3" width="14.28515625" bestFit="1" customWidth="1"/>
    <col min="4" max="4" width="14" bestFit="1" customWidth="1"/>
    <col min="5" max="5" width="12.28515625" bestFit="1" customWidth="1"/>
    <col min="6" max="6" width="22.28515625" bestFit="1" customWidth="1"/>
    <col min="7" max="7" width="9.7109375" style="12" bestFit="1" customWidth="1"/>
    <col min="8" max="8" width="8.5703125" bestFit="1" customWidth="1"/>
    <col min="9" max="9" width="12.42578125" bestFit="1" customWidth="1"/>
    <col min="10" max="10" width="13.85546875" bestFit="1" customWidth="1"/>
    <col min="11" max="11" width="16.85546875" style="12" bestFit="1" customWidth="1"/>
    <col min="12" max="12" width="16.7109375" bestFit="1" customWidth="1"/>
    <col min="13" max="13" width="18" bestFit="1" customWidth="1"/>
    <col min="15" max="15" width="25.85546875" bestFit="1" customWidth="1"/>
    <col min="19" max="20" width="11.140625" bestFit="1" customWidth="1"/>
  </cols>
  <sheetData>
    <row r="1" spans="1:17">
      <c r="A1" s="1" t="s">
        <v>0</v>
      </c>
      <c r="B1" s="13" t="s">
        <v>105</v>
      </c>
      <c r="C1" s="7" t="s">
        <v>104</v>
      </c>
      <c r="D1" s="1" t="s">
        <v>1</v>
      </c>
      <c r="E1" s="1" t="s">
        <v>2</v>
      </c>
      <c r="F1" s="1" t="s">
        <v>106</v>
      </c>
      <c r="G1" s="9" t="s">
        <v>3</v>
      </c>
      <c r="H1" s="1" t="s">
        <v>4</v>
      </c>
      <c r="I1" s="1" t="s">
        <v>5</v>
      </c>
      <c r="J1" s="17" t="s">
        <v>149</v>
      </c>
      <c r="K1" s="19" t="s">
        <v>148</v>
      </c>
      <c r="L1" s="16" t="s">
        <v>150</v>
      </c>
      <c r="M1" s="16" t="s">
        <v>151</v>
      </c>
    </row>
    <row r="2" spans="1:17" ht="16.5">
      <c r="A2" s="2" t="s">
        <v>6</v>
      </c>
      <c r="B2" s="14" t="str">
        <f>LEFT(A2,6)</f>
        <v>28-JAN</v>
      </c>
      <c r="C2" s="8" t="str">
        <f>RIGHT(A2,2)</f>
        <v>US</v>
      </c>
      <c r="D2" s="2" t="s">
        <v>42</v>
      </c>
      <c r="E2" s="2" t="s">
        <v>8</v>
      </c>
      <c r="F2" s="2" t="str">
        <f>CONCATENATE(D2," ", E2)</f>
        <v>Laptop Dell</v>
      </c>
      <c r="G2" s="10">
        <v>1000</v>
      </c>
      <c r="H2" s="2">
        <v>30</v>
      </c>
      <c r="I2" s="2" t="s">
        <v>9</v>
      </c>
      <c r="J2" t="b">
        <f>ISBLANK(G2)</f>
        <v>0</v>
      </c>
      <c r="K2" s="12">
        <f>IF(ISBLANK(G2),AVERAGE($G$2:$G$32),G2)</f>
        <v>1000</v>
      </c>
      <c r="L2" t="b">
        <f>ISBLANK(I2)</f>
        <v>0</v>
      </c>
      <c r="M2" s="20" t="str">
        <f>IF(ISBLANK(I2),"Uncategorized",I2)</f>
        <v>Electronics</v>
      </c>
    </row>
    <row r="3" spans="1:17" ht="16.5">
      <c r="A3" s="3" t="s">
        <v>10</v>
      </c>
      <c r="B3" s="14" t="str">
        <f t="shared" ref="B3:B32" si="0">LEFT(A3,6)</f>
        <v>15-FEB</v>
      </c>
      <c r="C3" s="8" t="str">
        <f t="shared" ref="C3:C32" si="1">RIGHT(A3,2)</f>
        <v>US</v>
      </c>
      <c r="D3" s="3" t="s">
        <v>11</v>
      </c>
      <c r="E3" s="3" t="s">
        <v>12</v>
      </c>
      <c r="F3" s="2" t="str">
        <f t="shared" ref="F3:F32" si="2">CONCATENATE(D3," ", E3)</f>
        <v>Sneakers Nike</v>
      </c>
      <c r="G3" s="11">
        <v>80</v>
      </c>
      <c r="H3" s="3">
        <v>15</v>
      </c>
      <c r="I3" s="3" t="s">
        <v>13</v>
      </c>
      <c r="J3" t="b">
        <f t="shared" ref="J3:J32" si="3">ISBLANK(G3)</f>
        <v>0</v>
      </c>
      <c r="K3" s="12">
        <f t="shared" ref="K3:K32" si="4">IF(ISBLANK(G3),AVERAGE($G$2:$G$32),G3)</f>
        <v>80</v>
      </c>
      <c r="L3" t="b">
        <f t="shared" ref="L3:L32" si="5">ISBLANK(I3)</f>
        <v>0</v>
      </c>
      <c r="M3" s="20" t="str">
        <f t="shared" ref="M3:M32" si="6">IF(ISBLANK(I3),"Uncategorized",I3)</f>
        <v>Fashion</v>
      </c>
    </row>
    <row r="4" spans="1:17" ht="16.5">
      <c r="A4" s="2" t="s">
        <v>14</v>
      </c>
      <c r="B4" s="14" t="str">
        <f t="shared" si="0"/>
        <v>03-MAR</v>
      </c>
      <c r="C4" s="8" t="str">
        <f t="shared" si="1"/>
        <v>US</v>
      </c>
      <c r="D4" s="2" t="s">
        <v>15</v>
      </c>
      <c r="E4" s="2" t="s">
        <v>16</v>
      </c>
      <c r="F4" s="2" t="str">
        <f t="shared" si="2"/>
        <v>Coffee Maker Keurig</v>
      </c>
      <c r="G4" s="10">
        <v>130</v>
      </c>
      <c r="H4" s="2">
        <v>40</v>
      </c>
      <c r="I4" s="2" t="s">
        <v>17</v>
      </c>
      <c r="J4" t="b">
        <f t="shared" si="3"/>
        <v>0</v>
      </c>
      <c r="K4" s="12">
        <f t="shared" si="4"/>
        <v>130</v>
      </c>
      <c r="L4" t="b">
        <f t="shared" si="5"/>
        <v>0</v>
      </c>
      <c r="M4" s="20" t="str">
        <f t="shared" si="6"/>
        <v>Kitchen</v>
      </c>
      <c r="N4">
        <v>1</v>
      </c>
      <c r="O4" s="18" t="s">
        <v>97</v>
      </c>
    </row>
    <row r="5" spans="1:17" ht="16.5">
      <c r="A5" s="3" t="s">
        <v>18</v>
      </c>
      <c r="B5" s="14" t="str">
        <f t="shared" si="0"/>
        <v>11-APR</v>
      </c>
      <c r="C5" s="8" t="str">
        <f t="shared" si="1"/>
        <v>US</v>
      </c>
      <c r="D5" s="3" t="s">
        <v>77</v>
      </c>
      <c r="E5" s="3" t="s">
        <v>20</v>
      </c>
      <c r="F5" s="2" t="str">
        <f t="shared" si="2"/>
        <v>Smartphone Samsung</v>
      </c>
      <c r="G5" s="11">
        <v>900</v>
      </c>
      <c r="H5" s="3">
        <v>25</v>
      </c>
      <c r="I5" s="3" t="s">
        <v>9</v>
      </c>
      <c r="J5" t="b">
        <f t="shared" si="3"/>
        <v>0</v>
      </c>
      <c r="K5" s="12">
        <f t="shared" si="4"/>
        <v>900</v>
      </c>
      <c r="L5" t="b">
        <f t="shared" si="5"/>
        <v>0</v>
      </c>
      <c r="M5" s="20" t="str">
        <f t="shared" si="6"/>
        <v>Electronics</v>
      </c>
      <c r="N5">
        <v>2</v>
      </c>
      <c r="O5" s="18" t="s">
        <v>98</v>
      </c>
      <c r="P5" s="16" t="s">
        <v>42</v>
      </c>
      <c r="Q5" s="37" t="s">
        <v>27</v>
      </c>
    </row>
    <row r="6" spans="1:17" ht="16.5">
      <c r="A6" s="2" t="s">
        <v>21</v>
      </c>
      <c r="B6" s="14" t="str">
        <f t="shared" si="0"/>
        <v>22-MAY</v>
      </c>
      <c r="C6" s="8" t="str">
        <f t="shared" si="1"/>
        <v>US</v>
      </c>
      <c r="D6" s="2" t="s">
        <v>22</v>
      </c>
      <c r="E6" s="2" t="s">
        <v>23</v>
      </c>
      <c r="F6" s="21" t="s">
        <v>152</v>
      </c>
      <c r="G6" s="10">
        <v>70</v>
      </c>
      <c r="H6" s="2">
        <v>20</v>
      </c>
      <c r="I6" s="2"/>
      <c r="J6" t="b">
        <f t="shared" si="3"/>
        <v>0</v>
      </c>
      <c r="K6" s="12">
        <f t="shared" si="4"/>
        <v>70</v>
      </c>
      <c r="L6" t="b">
        <f t="shared" si="5"/>
        <v>1</v>
      </c>
      <c r="M6" s="20" t="str">
        <f t="shared" si="6"/>
        <v>Uncategorized</v>
      </c>
      <c r="O6" s="18"/>
      <c r="P6" s="16" t="s">
        <v>77</v>
      </c>
      <c r="Q6" s="16" t="s">
        <v>185</v>
      </c>
    </row>
    <row r="7" spans="1:17" ht="16.5">
      <c r="A7" s="3" t="s">
        <v>24</v>
      </c>
      <c r="B7" s="14" t="str">
        <f t="shared" si="0"/>
        <v>07-JUN</v>
      </c>
      <c r="C7" s="8" t="str">
        <f t="shared" si="1"/>
        <v>UK</v>
      </c>
      <c r="D7" s="3" t="s">
        <v>25</v>
      </c>
      <c r="E7" s="3" t="s">
        <v>26</v>
      </c>
      <c r="F7" s="2" t="str">
        <f t="shared" si="2"/>
        <v>Headphones Sony</v>
      </c>
      <c r="G7" s="11"/>
      <c r="H7" s="3">
        <v>45</v>
      </c>
      <c r="I7" s="3" t="s">
        <v>9</v>
      </c>
      <c r="J7" t="b">
        <f t="shared" si="3"/>
        <v>1</v>
      </c>
      <c r="K7" s="12">
        <f>IF(ISBLANK(G7),ROUND(AVERAGE($G$2:$G$32),G7))</f>
        <v>298</v>
      </c>
      <c r="L7" t="b">
        <f t="shared" si="5"/>
        <v>0</v>
      </c>
      <c r="M7" s="20" t="str">
        <f t="shared" si="6"/>
        <v>Electronics</v>
      </c>
      <c r="O7" s="18"/>
      <c r="P7" s="16" t="s">
        <v>25</v>
      </c>
    </row>
    <row r="8" spans="1:17" ht="16.5">
      <c r="A8" s="2" t="s">
        <v>28</v>
      </c>
      <c r="B8" s="14" t="str">
        <f t="shared" si="0"/>
        <v>19-JUL</v>
      </c>
      <c r="C8" s="8" t="str">
        <f t="shared" si="1"/>
        <v>UK</v>
      </c>
      <c r="D8" s="2" t="s">
        <v>29</v>
      </c>
      <c r="E8" s="2" t="s">
        <v>30</v>
      </c>
      <c r="F8" s="2" t="str">
        <f t="shared" si="2"/>
        <v>T-shirt Adidas</v>
      </c>
      <c r="G8" s="10">
        <v>30</v>
      </c>
      <c r="H8" s="2">
        <v>5</v>
      </c>
      <c r="I8" s="2" t="s">
        <v>13</v>
      </c>
      <c r="J8" t="b">
        <f t="shared" si="3"/>
        <v>0</v>
      </c>
      <c r="K8" s="12">
        <f>IF(ISBLANK(G8),AVERAGE($G$2:$G$32),G8)</f>
        <v>30</v>
      </c>
      <c r="L8" t="b">
        <f t="shared" si="5"/>
        <v>0</v>
      </c>
      <c r="M8" s="20" t="str">
        <f t="shared" si="6"/>
        <v>Fashion</v>
      </c>
      <c r="N8">
        <v>3</v>
      </c>
      <c r="O8" s="18" t="s">
        <v>99</v>
      </c>
      <c r="P8" s="16" t="s">
        <v>186</v>
      </c>
    </row>
    <row r="9" spans="1:17" ht="16.5">
      <c r="A9" s="3" t="s">
        <v>31</v>
      </c>
      <c r="B9" s="14" t="str">
        <f t="shared" si="0"/>
        <v>23-AUG</v>
      </c>
      <c r="C9" s="8" t="str">
        <f t="shared" si="1"/>
        <v>UK</v>
      </c>
      <c r="D9" s="3" t="s">
        <v>32</v>
      </c>
      <c r="E9" s="3" t="s">
        <v>33</v>
      </c>
      <c r="F9" s="2" t="str">
        <f t="shared" si="2"/>
        <v>Blender Ninja</v>
      </c>
      <c r="G9" s="11">
        <v>90</v>
      </c>
      <c r="H9" s="3">
        <v>35</v>
      </c>
      <c r="I9" s="3" t="s">
        <v>17</v>
      </c>
      <c r="J9" t="b">
        <f t="shared" si="3"/>
        <v>0</v>
      </c>
      <c r="K9" s="12">
        <f t="shared" si="4"/>
        <v>90</v>
      </c>
      <c r="L9" t="b">
        <f t="shared" si="5"/>
        <v>0</v>
      </c>
      <c r="M9" s="20" t="str">
        <f t="shared" si="6"/>
        <v>Kitchen</v>
      </c>
      <c r="N9">
        <v>4</v>
      </c>
      <c r="O9" s="18" t="s">
        <v>100</v>
      </c>
    </row>
    <row r="10" spans="1:17" ht="16.5">
      <c r="A10" s="2" t="s">
        <v>34</v>
      </c>
      <c r="B10" s="14" t="str">
        <f t="shared" si="0"/>
        <v>05-SEP</v>
      </c>
      <c r="C10" s="8" t="str">
        <f t="shared" si="1"/>
        <v>UK</v>
      </c>
      <c r="D10" s="2" t="s">
        <v>35</v>
      </c>
      <c r="E10" s="2" t="s">
        <v>36</v>
      </c>
      <c r="F10" s="2" t="str">
        <f t="shared" si="2"/>
        <v>Tablet Apple</v>
      </c>
      <c r="G10" s="10">
        <v>500</v>
      </c>
      <c r="H10" s="2">
        <v>50</v>
      </c>
      <c r="I10" s="2" t="s">
        <v>9</v>
      </c>
      <c r="J10" t="b">
        <f t="shared" si="3"/>
        <v>0</v>
      </c>
      <c r="K10" s="12">
        <f t="shared" si="4"/>
        <v>500</v>
      </c>
      <c r="L10" t="b">
        <f t="shared" si="5"/>
        <v>0</v>
      </c>
      <c r="M10" s="20" t="str">
        <f t="shared" si="6"/>
        <v>Electronics</v>
      </c>
      <c r="N10">
        <v>5</v>
      </c>
      <c r="O10" s="18" t="s">
        <v>101</v>
      </c>
    </row>
    <row r="11" spans="1:17" ht="16.5">
      <c r="A11" s="3" t="s">
        <v>37</v>
      </c>
      <c r="B11" s="14" t="str">
        <f t="shared" si="0"/>
        <v>14-OCT</v>
      </c>
      <c r="C11" s="8" t="str">
        <f t="shared" si="1"/>
        <v>UK</v>
      </c>
      <c r="D11" s="3" t="s">
        <v>38</v>
      </c>
      <c r="E11" s="3" t="s">
        <v>39</v>
      </c>
      <c r="F11" s="2" t="str">
        <f t="shared" si="2"/>
        <v>Hiking Boots Timberland</v>
      </c>
      <c r="G11" s="11">
        <v>130</v>
      </c>
      <c r="H11" s="3">
        <v>10</v>
      </c>
      <c r="I11" s="3" t="s">
        <v>40</v>
      </c>
      <c r="J11" t="b">
        <f t="shared" si="3"/>
        <v>0</v>
      </c>
      <c r="K11" s="12">
        <f t="shared" si="4"/>
        <v>130</v>
      </c>
      <c r="L11" t="b">
        <f t="shared" si="5"/>
        <v>0</v>
      </c>
      <c r="M11" s="20" t="str">
        <f t="shared" si="6"/>
        <v>Outdoor</v>
      </c>
      <c r="N11">
        <v>6</v>
      </c>
      <c r="O11" s="18" t="s">
        <v>102</v>
      </c>
    </row>
    <row r="12" spans="1:17" ht="16.5">
      <c r="A12" s="2" t="s">
        <v>41</v>
      </c>
      <c r="B12" s="14" t="str">
        <f t="shared" si="0"/>
        <v>17-JUN</v>
      </c>
      <c r="C12" s="8" t="str">
        <f t="shared" si="1"/>
        <v>IN</v>
      </c>
      <c r="D12" s="2" t="s">
        <v>42</v>
      </c>
      <c r="E12" s="2" t="s">
        <v>43</v>
      </c>
      <c r="F12" s="2" t="str">
        <f t="shared" si="2"/>
        <v>Laptop HP</v>
      </c>
      <c r="G12" s="10">
        <v>950</v>
      </c>
      <c r="H12" s="2">
        <v>25</v>
      </c>
      <c r="I12" s="2" t="s">
        <v>9</v>
      </c>
      <c r="J12" t="b">
        <f t="shared" si="3"/>
        <v>0</v>
      </c>
      <c r="K12" s="12">
        <f t="shared" si="4"/>
        <v>950</v>
      </c>
      <c r="L12" t="b">
        <f t="shared" si="5"/>
        <v>0</v>
      </c>
      <c r="M12" s="20" t="str">
        <f t="shared" si="6"/>
        <v>Electronics</v>
      </c>
    </row>
    <row r="13" spans="1:17" ht="16.5">
      <c r="A13" s="3" t="s">
        <v>44</v>
      </c>
      <c r="B13" s="14" t="str">
        <f t="shared" si="0"/>
        <v>25-NOV</v>
      </c>
      <c r="C13" s="8" t="str">
        <f t="shared" si="1"/>
        <v>AU</v>
      </c>
      <c r="D13" s="3" t="s">
        <v>11</v>
      </c>
      <c r="E13" s="3" t="s">
        <v>30</v>
      </c>
      <c r="F13" s="2" t="str">
        <f t="shared" si="2"/>
        <v>Sneakers Adidas</v>
      </c>
      <c r="G13" s="11">
        <v>90</v>
      </c>
      <c r="H13" s="3">
        <v>40</v>
      </c>
      <c r="I13" s="3"/>
      <c r="J13" t="b">
        <f t="shared" si="3"/>
        <v>0</v>
      </c>
      <c r="K13" s="12">
        <f t="shared" si="4"/>
        <v>90</v>
      </c>
      <c r="L13" t="b">
        <f t="shared" si="5"/>
        <v>1</v>
      </c>
      <c r="M13" s="20" t="str">
        <f t="shared" si="6"/>
        <v>Uncategorized</v>
      </c>
    </row>
    <row r="14" spans="1:17" ht="16.5">
      <c r="A14" s="2" t="s">
        <v>45</v>
      </c>
      <c r="B14" s="14" t="str">
        <f t="shared" si="0"/>
        <v>08-DEC</v>
      </c>
      <c r="C14" s="8" t="str">
        <f t="shared" si="1"/>
        <v>DE</v>
      </c>
      <c r="D14" s="2" t="s">
        <v>15</v>
      </c>
      <c r="E14" s="2" t="s">
        <v>46</v>
      </c>
      <c r="F14" s="2" t="str">
        <f t="shared" si="2"/>
        <v>Coffee Maker Nespresso</v>
      </c>
      <c r="G14" s="10">
        <v>120</v>
      </c>
      <c r="H14" s="2">
        <v>35</v>
      </c>
      <c r="I14" s="2"/>
      <c r="J14" t="b">
        <f t="shared" si="3"/>
        <v>0</v>
      </c>
      <c r="K14" s="12">
        <f t="shared" si="4"/>
        <v>120</v>
      </c>
      <c r="L14" t="b">
        <f t="shared" si="5"/>
        <v>1</v>
      </c>
      <c r="M14" s="20" t="str">
        <f t="shared" si="6"/>
        <v>Uncategorized</v>
      </c>
    </row>
    <row r="15" spans="1:17" ht="16.5">
      <c r="A15" s="3" t="s">
        <v>47</v>
      </c>
      <c r="B15" s="14" t="str">
        <f t="shared" si="0"/>
        <v>18-FEB</v>
      </c>
      <c r="C15" s="8" t="str">
        <f t="shared" si="1"/>
        <v>CA</v>
      </c>
      <c r="D15" s="3" t="s">
        <v>48</v>
      </c>
      <c r="E15" s="3" t="s">
        <v>49</v>
      </c>
      <c r="F15" s="2" t="str">
        <f t="shared" si="2"/>
        <v>Smartwatch Fitbit</v>
      </c>
      <c r="G15" s="11">
        <v>150</v>
      </c>
      <c r="H15" s="3">
        <v>15</v>
      </c>
      <c r="I15" s="3" t="s">
        <v>9</v>
      </c>
      <c r="J15" t="b">
        <f t="shared" si="3"/>
        <v>0</v>
      </c>
      <c r="K15" s="12">
        <f t="shared" si="4"/>
        <v>150</v>
      </c>
      <c r="L15" t="b">
        <f t="shared" si="5"/>
        <v>0</v>
      </c>
      <c r="M15" s="20" t="str">
        <f t="shared" si="6"/>
        <v>Electronics</v>
      </c>
    </row>
    <row r="16" spans="1:17" ht="16.5">
      <c r="A16" s="2" t="s">
        <v>50</v>
      </c>
      <c r="B16" s="14" t="str">
        <f t="shared" si="0"/>
        <v>16-APR</v>
      </c>
      <c r="C16" s="8" t="str">
        <f t="shared" si="1"/>
        <v>ES</v>
      </c>
      <c r="D16" s="2" t="s">
        <v>25</v>
      </c>
      <c r="E16" s="2" t="s">
        <v>52</v>
      </c>
      <c r="F16" s="2" t="str">
        <f t="shared" si="2"/>
        <v>Headphones Bose</v>
      </c>
      <c r="G16" s="10">
        <v>250</v>
      </c>
      <c r="H16" s="2">
        <v>20</v>
      </c>
      <c r="I16" s="2" t="s">
        <v>9</v>
      </c>
      <c r="J16" t="b">
        <f t="shared" si="3"/>
        <v>0</v>
      </c>
      <c r="K16" s="12">
        <f t="shared" si="4"/>
        <v>250</v>
      </c>
      <c r="L16" t="b">
        <f t="shared" si="5"/>
        <v>0</v>
      </c>
      <c r="M16" s="20" t="str">
        <f t="shared" si="6"/>
        <v>Electronics</v>
      </c>
    </row>
    <row r="17" spans="1:13" ht="16.5">
      <c r="A17" s="3" t="s">
        <v>53</v>
      </c>
      <c r="B17" s="14" t="str">
        <f t="shared" si="0"/>
        <v>21-AUG</v>
      </c>
      <c r="C17" s="8" t="str">
        <f t="shared" si="1"/>
        <v>CA</v>
      </c>
      <c r="D17" s="3" t="s">
        <v>54</v>
      </c>
      <c r="E17" s="3" t="s">
        <v>55</v>
      </c>
      <c r="F17" s="2" t="str">
        <f t="shared" si="2"/>
        <v>Laptop Bag Samsonite</v>
      </c>
      <c r="G17" s="11">
        <v>50</v>
      </c>
      <c r="H17" s="3">
        <v>35</v>
      </c>
      <c r="I17" s="3" t="s">
        <v>56</v>
      </c>
      <c r="J17" t="b">
        <f t="shared" si="3"/>
        <v>0</v>
      </c>
      <c r="K17" s="12">
        <f t="shared" si="4"/>
        <v>50</v>
      </c>
      <c r="L17" t="b">
        <f t="shared" si="5"/>
        <v>0</v>
      </c>
      <c r="M17" s="20" t="str">
        <f t="shared" si="6"/>
        <v>Accessories</v>
      </c>
    </row>
    <row r="18" spans="1:13" ht="16.5">
      <c r="A18" s="2" t="s">
        <v>57</v>
      </c>
      <c r="B18" s="14" t="str">
        <f t="shared" si="0"/>
        <v>20-AUG</v>
      </c>
      <c r="C18" s="8" t="str">
        <f t="shared" si="1"/>
        <v>CN</v>
      </c>
      <c r="D18" s="2" t="s">
        <v>48</v>
      </c>
      <c r="E18" s="2" t="s">
        <v>58</v>
      </c>
      <c r="F18" s="2" t="str">
        <f t="shared" si="2"/>
        <v>Smartwatch Huawei</v>
      </c>
      <c r="G18" s="10">
        <v>160</v>
      </c>
      <c r="H18" s="2">
        <v>15</v>
      </c>
      <c r="I18" s="2" t="s">
        <v>9</v>
      </c>
      <c r="J18" t="b">
        <f t="shared" si="3"/>
        <v>0</v>
      </c>
      <c r="K18" s="12">
        <f t="shared" si="4"/>
        <v>160</v>
      </c>
      <c r="L18" t="b">
        <f t="shared" si="5"/>
        <v>0</v>
      </c>
      <c r="M18" s="20" t="str">
        <f t="shared" si="6"/>
        <v>Electronics</v>
      </c>
    </row>
    <row r="19" spans="1:13" ht="16.5">
      <c r="A19" s="3" t="s">
        <v>59</v>
      </c>
      <c r="B19" s="14" t="str">
        <f t="shared" si="0"/>
        <v>27-JAN</v>
      </c>
      <c r="C19" s="8" t="str">
        <f t="shared" si="1"/>
        <v>IT</v>
      </c>
      <c r="D19" s="3" t="s">
        <v>42</v>
      </c>
      <c r="E19" s="3" t="s">
        <v>60</v>
      </c>
      <c r="F19" s="2" t="str">
        <f t="shared" si="2"/>
        <v>Laptop Asus</v>
      </c>
      <c r="G19" s="11">
        <v>980</v>
      </c>
      <c r="H19" s="3">
        <v>10</v>
      </c>
      <c r="I19" s="3" t="s">
        <v>9</v>
      </c>
      <c r="J19" t="b">
        <f t="shared" si="3"/>
        <v>0</v>
      </c>
      <c r="K19" s="12">
        <f t="shared" si="4"/>
        <v>980</v>
      </c>
      <c r="L19" t="b">
        <f t="shared" si="5"/>
        <v>0</v>
      </c>
      <c r="M19" s="20" t="str">
        <f t="shared" si="6"/>
        <v>Electronics</v>
      </c>
    </row>
    <row r="20" spans="1:13" ht="16.5">
      <c r="A20" s="2" t="s">
        <v>61</v>
      </c>
      <c r="B20" s="14" t="str">
        <f t="shared" si="0"/>
        <v>01-MAR</v>
      </c>
      <c r="C20" s="8" t="str">
        <f t="shared" si="1"/>
        <v>UK</v>
      </c>
      <c r="D20" s="2" t="s">
        <v>62</v>
      </c>
      <c r="E20" s="2" t="s">
        <v>63</v>
      </c>
      <c r="F20" s="2" t="str">
        <f t="shared" si="2"/>
        <v>Sunglasses Oakley</v>
      </c>
      <c r="G20" s="10">
        <v>150</v>
      </c>
      <c r="H20" s="2">
        <v>15</v>
      </c>
      <c r="I20" s="2" t="s">
        <v>13</v>
      </c>
      <c r="J20" t="b">
        <f t="shared" si="3"/>
        <v>0</v>
      </c>
      <c r="K20" s="12">
        <f t="shared" si="4"/>
        <v>150</v>
      </c>
      <c r="L20" t="b">
        <f t="shared" si="5"/>
        <v>0</v>
      </c>
      <c r="M20" s="20" t="str">
        <f t="shared" si="6"/>
        <v>Fashion</v>
      </c>
    </row>
    <row r="21" spans="1:13" ht="16.5">
      <c r="A21" s="3" t="s">
        <v>64</v>
      </c>
      <c r="B21" s="14" t="str">
        <f t="shared" si="0"/>
        <v>14-AUG</v>
      </c>
      <c r="C21" s="8" t="str">
        <f t="shared" si="1"/>
        <v>US</v>
      </c>
      <c r="D21" s="3" t="s">
        <v>65</v>
      </c>
      <c r="E21" s="3" t="s">
        <v>66</v>
      </c>
      <c r="F21" s="2" t="str">
        <f t="shared" si="2"/>
        <v>Camping Tent Coleman</v>
      </c>
      <c r="G21" s="11"/>
      <c r="H21" s="3">
        <v>10</v>
      </c>
      <c r="I21" s="3" t="s">
        <v>40</v>
      </c>
      <c r="J21" t="b">
        <f t="shared" si="3"/>
        <v>1</v>
      </c>
      <c r="K21" s="12">
        <f t="shared" si="4"/>
        <v>297.85714285714283</v>
      </c>
      <c r="L21" t="b">
        <f t="shared" si="5"/>
        <v>0</v>
      </c>
      <c r="M21" s="20" t="str">
        <f t="shared" si="6"/>
        <v>Outdoor</v>
      </c>
    </row>
    <row r="22" spans="1:13" ht="16.5">
      <c r="A22" s="2" t="s">
        <v>67</v>
      </c>
      <c r="B22" s="14" t="str">
        <f t="shared" si="0"/>
        <v>14-MAY</v>
      </c>
      <c r="C22" s="8" t="str">
        <f t="shared" si="1"/>
        <v>RU</v>
      </c>
      <c r="D22" s="2" t="s">
        <v>68</v>
      </c>
      <c r="E22" s="2" t="s">
        <v>69</v>
      </c>
      <c r="F22" s="2" t="str">
        <f t="shared" si="2"/>
        <v>Camera Nikon</v>
      </c>
      <c r="G22" s="10">
        <v>700</v>
      </c>
      <c r="H22" s="2">
        <v>50</v>
      </c>
      <c r="I22" s="2" t="s">
        <v>9</v>
      </c>
      <c r="J22" t="b">
        <f t="shared" si="3"/>
        <v>0</v>
      </c>
      <c r="K22" s="12">
        <f t="shared" si="4"/>
        <v>700</v>
      </c>
      <c r="L22" t="b">
        <f t="shared" si="5"/>
        <v>0</v>
      </c>
      <c r="M22" s="20" t="str">
        <f t="shared" si="6"/>
        <v>Electronics</v>
      </c>
    </row>
    <row r="23" spans="1:13" ht="16.5">
      <c r="A23" s="3" t="s">
        <v>70</v>
      </c>
      <c r="B23" s="14" t="str">
        <f t="shared" si="0"/>
        <v>09-JAN</v>
      </c>
      <c r="C23" s="8" t="str">
        <f t="shared" si="1"/>
        <v>CA</v>
      </c>
      <c r="D23" s="3" t="s">
        <v>71</v>
      </c>
      <c r="E23" s="3" t="s">
        <v>72</v>
      </c>
      <c r="F23" s="2" t="str">
        <f t="shared" si="2"/>
        <v>Microwave Panasonic</v>
      </c>
      <c r="G23" s="11">
        <v>80</v>
      </c>
      <c r="H23" s="3">
        <v>20</v>
      </c>
      <c r="I23" s="3" t="s">
        <v>17</v>
      </c>
      <c r="J23" t="b">
        <f t="shared" si="3"/>
        <v>0</v>
      </c>
      <c r="K23" s="12">
        <f t="shared" si="4"/>
        <v>80</v>
      </c>
      <c r="L23" t="b">
        <f t="shared" si="5"/>
        <v>0</v>
      </c>
      <c r="M23" s="20" t="str">
        <f t="shared" si="6"/>
        <v>Kitchen</v>
      </c>
    </row>
    <row r="24" spans="1:13" ht="16.5">
      <c r="A24" s="2" t="s">
        <v>73</v>
      </c>
      <c r="B24" s="14" t="str">
        <f t="shared" si="0"/>
        <v>19-JUL</v>
      </c>
      <c r="C24" s="8" t="str">
        <f t="shared" si="1"/>
        <v>BR</v>
      </c>
      <c r="D24" s="2" t="s">
        <v>74</v>
      </c>
      <c r="E24" s="2" t="s">
        <v>75</v>
      </c>
      <c r="F24" s="2" t="str">
        <f t="shared" si="2"/>
        <v>Fitness Tracker Xiaomi</v>
      </c>
      <c r="G24" s="10">
        <v>150</v>
      </c>
      <c r="H24" s="2">
        <v>30</v>
      </c>
      <c r="I24" s="2"/>
      <c r="J24" t="b">
        <f t="shared" si="3"/>
        <v>0</v>
      </c>
      <c r="K24" s="12">
        <f t="shared" si="4"/>
        <v>150</v>
      </c>
      <c r="L24" t="b">
        <f t="shared" si="5"/>
        <v>1</v>
      </c>
      <c r="M24" s="20" t="str">
        <f t="shared" si="6"/>
        <v>Uncategorized</v>
      </c>
    </row>
    <row r="25" spans="1:13" ht="16.5">
      <c r="A25" s="2" t="s">
        <v>76</v>
      </c>
      <c r="B25" s="14" t="str">
        <f t="shared" si="0"/>
        <v>29-SEP</v>
      </c>
      <c r="C25" s="8" t="str">
        <f t="shared" si="1"/>
        <v>CA</v>
      </c>
      <c r="D25" s="2" t="s">
        <v>77</v>
      </c>
      <c r="E25" s="2" t="s">
        <v>78</v>
      </c>
      <c r="F25" s="2" t="str">
        <f t="shared" si="2"/>
        <v>Smartphone Google</v>
      </c>
      <c r="G25" s="10">
        <v>800</v>
      </c>
      <c r="H25" s="2">
        <v>45</v>
      </c>
      <c r="I25" s="2" t="s">
        <v>9</v>
      </c>
      <c r="J25" t="b">
        <f t="shared" si="3"/>
        <v>0</v>
      </c>
      <c r="K25" s="12">
        <f t="shared" si="4"/>
        <v>800</v>
      </c>
      <c r="L25" t="b">
        <f t="shared" si="5"/>
        <v>0</v>
      </c>
      <c r="M25" s="20" t="str">
        <f t="shared" si="6"/>
        <v>Electronics</v>
      </c>
    </row>
    <row r="26" spans="1:13" ht="16.5">
      <c r="A26" s="3" t="s">
        <v>79</v>
      </c>
      <c r="B26" s="14" t="str">
        <f t="shared" si="0"/>
        <v>03-JUN</v>
      </c>
      <c r="C26" s="8" t="str">
        <f t="shared" si="1"/>
        <v>CA</v>
      </c>
      <c r="D26" s="3" t="s">
        <v>62</v>
      </c>
      <c r="E26" s="3" t="s">
        <v>80</v>
      </c>
      <c r="F26" s="2" t="str">
        <f t="shared" si="2"/>
        <v>Sunglasses Ray-Ban</v>
      </c>
      <c r="G26" s="11"/>
      <c r="H26" s="3">
        <v>25</v>
      </c>
      <c r="I26" s="3" t="s">
        <v>13</v>
      </c>
      <c r="J26" t="b">
        <f t="shared" si="3"/>
        <v>1</v>
      </c>
      <c r="K26" s="12">
        <f t="shared" si="4"/>
        <v>297.85714285714283</v>
      </c>
      <c r="L26" t="b">
        <f t="shared" si="5"/>
        <v>0</v>
      </c>
      <c r="M26" s="20" t="str">
        <f t="shared" si="6"/>
        <v>Fashion</v>
      </c>
    </row>
    <row r="27" spans="1:13" ht="16.5">
      <c r="A27" s="2" t="s">
        <v>81</v>
      </c>
      <c r="B27" s="14" t="str">
        <f t="shared" si="0"/>
        <v>11-JUL</v>
      </c>
      <c r="C27" s="8" t="str">
        <f t="shared" si="1"/>
        <v>CA</v>
      </c>
      <c r="D27" s="2" t="s">
        <v>32</v>
      </c>
      <c r="E27" s="2" t="s">
        <v>82</v>
      </c>
      <c r="F27" s="2" t="str">
        <f t="shared" si="2"/>
        <v>Blender Vitamix</v>
      </c>
      <c r="G27" s="10">
        <v>400</v>
      </c>
      <c r="H27" s="2">
        <v>40</v>
      </c>
      <c r="I27" s="2" t="s">
        <v>17</v>
      </c>
      <c r="J27" t="b">
        <f t="shared" si="3"/>
        <v>0</v>
      </c>
      <c r="K27" s="12">
        <f t="shared" si="4"/>
        <v>400</v>
      </c>
      <c r="L27" t="b">
        <f t="shared" si="5"/>
        <v>0</v>
      </c>
      <c r="M27" s="20" t="str">
        <f t="shared" si="6"/>
        <v>Kitchen</v>
      </c>
    </row>
    <row r="28" spans="1:13" ht="16.5">
      <c r="A28" s="2" t="s">
        <v>83</v>
      </c>
      <c r="B28" s="14" t="str">
        <f t="shared" si="0"/>
        <v>07-MAR</v>
      </c>
      <c r="C28" s="8" t="str">
        <f t="shared" si="1"/>
        <v>CA</v>
      </c>
      <c r="D28" s="2" t="s">
        <v>84</v>
      </c>
      <c r="E28" s="2" t="s">
        <v>85</v>
      </c>
      <c r="F28" s="2" t="str">
        <f t="shared" si="2"/>
        <v>Dress Zara</v>
      </c>
      <c r="G28" s="10">
        <v>60</v>
      </c>
      <c r="H28" s="2">
        <v>30</v>
      </c>
      <c r="I28" s="2" t="s">
        <v>13</v>
      </c>
      <c r="J28" t="b">
        <f t="shared" si="3"/>
        <v>0</v>
      </c>
      <c r="K28" s="12">
        <f t="shared" si="4"/>
        <v>60</v>
      </c>
      <c r="L28" t="b">
        <f t="shared" si="5"/>
        <v>0</v>
      </c>
      <c r="M28" s="20" t="str">
        <f t="shared" si="6"/>
        <v>Fashion</v>
      </c>
    </row>
    <row r="29" spans="1:13" ht="16.5">
      <c r="A29" s="3" t="s">
        <v>86</v>
      </c>
      <c r="B29" s="14" t="str">
        <f t="shared" si="0"/>
        <v>13-APR</v>
      </c>
      <c r="C29" s="8" t="str">
        <f t="shared" si="1"/>
        <v>CA</v>
      </c>
      <c r="D29" s="3" t="s">
        <v>87</v>
      </c>
      <c r="E29" s="3" t="s">
        <v>88</v>
      </c>
      <c r="F29" s="2" t="str">
        <f t="shared" si="2"/>
        <v>Toaster Hamilton</v>
      </c>
      <c r="G29" s="11">
        <v>40</v>
      </c>
      <c r="H29" s="3">
        <v>10</v>
      </c>
      <c r="I29" s="3" t="s">
        <v>17</v>
      </c>
      <c r="J29" t="b">
        <f t="shared" si="3"/>
        <v>0</v>
      </c>
      <c r="K29" s="12">
        <f t="shared" si="4"/>
        <v>40</v>
      </c>
      <c r="L29" t="b">
        <f t="shared" si="5"/>
        <v>0</v>
      </c>
      <c r="M29" s="20" t="str">
        <f t="shared" si="6"/>
        <v>Kitchen</v>
      </c>
    </row>
    <row r="30" spans="1:13" ht="16.5">
      <c r="A30" s="2" t="s">
        <v>89</v>
      </c>
      <c r="B30" s="14" t="str">
        <f t="shared" si="0"/>
        <v>24-MAY</v>
      </c>
      <c r="C30" s="8" t="str">
        <f t="shared" si="1"/>
        <v>CA</v>
      </c>
      <c r="D30" s="2" t="s">
        <v>74</v>
      </c>
      <c r="E30" s="2" t="s">
        <v>90</v>
      </c>
      <c r="F30" s="2" t="str">
        <f t="shared" si="2"/>
        <v>Fitness Tracker Garmin</v>
      </c>
      <c r="G30" s="10">
        <v>130</v>
      </c>
      <c r="H30" s="2">
        <v>5</v>
      </c>
      <c r="I30" s="2" t="s">
        <v>9</v>
      </c>
      <c r="J30" t="b">
        <f t="shared" si="3"/>
        <v>0</v>
      </c>
      <c r="K30" s="12">
        <f t="shared" si="4"/>
        <v>130</v>
      </c>
      <c r="L30" t="b">
        <f t="shared" si="5"/>
        <v>0</v>
      </c>
      <c r="M30" s="20" t="str">
        <f t="shared" si="6"/>
        <v>Electronics</v>
      </c>
    </row>
    <row r="31" spans="1:13" ht="16.5">
      <c r="A31" s="3" t="s">
        <v>91</v>
      </c>
      <c r="B31" s="14" t="str">
        <f t="shared" si="0"/>
        <v>02-DEC</v>
      </c>
      <c r="C31" s="8" t="str">
        <f t="shared" si="1"/>
        <v>CA</v>
      </c>
      <c r="D31" s="3" t="s">
        <v>92</v>
      </c>
      <c r="E31" s="3" t="s">
        <v>93</v>
      </c>
      <c r="F31" s="2" t="str">
        <f t="shared" si="2"/>
        <v>Jeans Levi's</v>
      </c>
      <c r="G31" s="11">
        <v>50</v>
      </c>
      <c r="H31" s="3">
        <v>50</v>
      </c>
      <c r="I31" s="3" t="s">
        <v>13</v>
      </c>
      <c r="J31" t="b">
        <f t="shared" si="3"/>
        <v>0</v>
      </c>
      <c r="K31" s="12">
        <f t="shared" si="4"/>
        <v>50</v>
      </c>
      <c r="L31" t="b">
        <f t="shared" si="5"/>
        <v>0</v>
      </c>
      <c r="M31" s="20" t="str">
        <f t="shared" si="6"/>
        <v>Fashion</v>
      </c>
    </row>
    <row r="32" spans="1:13" ht="16.5">
      <c r="A32" s="3" t="s">
        <v>94</v>
      </c>
      <c r="B32" s="14" t="str">
        <f t="shared" si="0"/>
        <v>09-JUL</v>
      </c>
      <c r="C32" s="8" t="str">
        <f t="shared" si="1"/>
        <v>FR</v>
      </c>
      <c r="D32" s="3" t="s">
        <v>95</v>
      </c>
      <c r="E32" s="3" t="s">
        <v>96</v>
      </c>
      <c r="F32" s="2" t="str">
        <f t="shared" si="2"/>
        <v>Watch Casio</v>
      </c>
      <c r="G32" s="11">
        <v>100</v>
      </c>
      <c r="H32" s="3">
        <v>20</v>
      </c>
      <c r="I32" s="3" t="s">
        <v>56</v>
      </c>
      <c r="J32" t="b">
        <f t="shared" si="3"/>
        <v>0</v>
      </c>
      <c r="K32" s="12">
        <f t="shared" si="4"/>
        <v>100</v>
      </c>
      <c r="L32" t="b">
        <f t="shared" si="5"/>
        <v>0</v>
      </c>
      <c r="M32" s="20" t="str">
        <f t="shared" si="6"/>
        <v>Accessories</v>
      </c>
    </row>
  </sheetData>
  <conditionalFormatting sqref="M2:M32">
    <cfRule type="expression" dxfId="4" priority="2">
      <formula>I2="Electronics"</formula>
    </cfRule>
  </conditionalFormatting>
  <conditionalFormatting sqref="K2:K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{67D09851-8DE2-43B5-918E-29C5935C618E}</x14:id>
        </ext>
      </extLst>
    </cfRule>
  </conditionalFormatting>
  <pageMargins left="0.7" right="0.7" top="0.75" bottom="0.75" header="0.3" footer="0.3"/>
  <pageSetup orientation="portrait" r:id="rId1"/>
  <ignoredErrors>
    <ignoredError sqref="K2:K8 K9:K3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09851-8DE2-43B5-918E-29C5935C6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8C3C-EE07-4909-89BB-5AD768916031}">
  <dimension ref="A1:I32"/>
  <sheetViews>
    <sheetView tabSelected="1" workbookViewId="0"/>
  </sheetViews>
  <sheetFormatPr defaultRowHeight="12.75"/>
  <cols>
    <col min="1" max="1" width="10.85546875" bestFit="1" customWidth="1"/>
    <col min="2" max="2" width="19" style="22" bestFit="1" customWidth="1"/>
    <col min="3" max="4" width="14" bestFit="1" customWidth="1"/>
    <col min="5" max="5" width="12.28515625" bestFit="1" customWidth="1"/>
    <col min="6" max="6" width="21.7109375" bestFit="1" customWidth="1"/>
    <col min="7" max="7" width="8.5703125" style="25" bestFit="1" customWidth="1"/>
    <col min="8" max="8" width="16.140625" style="24" bestFit="1" customWidth="1"/>
    <col min="9" max="9" width="19.7109375" style="23" bestFit="1" customWidth="1"/>
  </cols>
  <sheetData>
    <row r="1" spans="1:9" s="26" customFormat="1">
      <c r="A1" s="27" t="s">
        <v>0</v>
      </c>
      <c r="B1" s="28" t="s">
        <v>105</v>
      </c>
      <c r="C1" s="27" t="s">
        <v>104</v>
      </c>
      <c r="D1" s="27" t="s">
        <v>1</v>
      </c>
      <c r="E1" s="27" t="s">
        <v>2</v>
      </c>
      <c r="F1" s="27" t="s">
        <v>106</v>
      </c>
      <c r="G1" s="29" t="s">
        <v>4</v>
      </c>
      <c r="H1" s="30" t="s">
        <v>148</v>
      </c>
      <c r="I1" s="31" t="s">
        <v>151</v>
      </c>
    </row>
    <row r="2" spans="1:9">
      <c r="A2" s="32" t="s">
        <v>6</v>
      </c>
      <c r="B2" s="33" t="s">
        <v>107</v>
      </c>
      <c r="C2" s="32" t="s">
        <v>103</v>
      </c>
      <c r="D2" s="32" t="s">
        <v>42</v>
      </c>
      <c r="E2" s="32" t="s">
        <v>8</v>
      </c>
      <c r="F2" s="32" t="s">
        <v>153</v>
      </c>
      <c r="G2" s="34">
        <v>30</v>
      </c>
      <c r="H2" s="35">
        <v>1000</v>
      </c>
      <c r="I2" s="36" t="s">
        <v>9</v>
      </c>
    </row>
    <row r="3" spans="1:9">
      <c r="A3" s="32" t="s">
        <v>10</v>
      </c>
      <c r="B3" s="33" t="s">
        <v>108</v>
      </c>
      <c r="C3" s="32" t="s">
        <v>103</v>
      </c>
      <c r="D3" s="32" t="s">
        <v>11</v>
      </c>
      <c r="E3" s="32" t="s">
        <v>12</v>
      </c>
      <c r="F3" s="32" t="s">
        <v>154</v>
      </c>
      <c r="G3" s="34">
        <v>15</v>
      </c>
      <c r="H3" s="35">
        <v>80</v>
      </c>
      <c r="I3" s="32" t="s">
        <v>13</v>
      </c>
    </row>
    <row r="4" spans="1:9">
      <c r="A4" s="32" t="s">
        <v>14</v>
      </c>
      <c r="B4" s="33" t="s">
        <v>109</v>
      </c>
      <c r="C4" s="32" t="s">
        <v>103</v>
      </c>
      <c r="D4" s="32" t="s">
        <v>15</v>
      </c>
      <c r="E4" s="32" t="s">
        <v>16</v>
      </c>
      <c r="F4" s="32" t="s">
        <v>155</v>
      </c>
      <c r="G4" s="34">
        <v>40</v>
      </c>
      <c r="H4" s="35">
        <v>130</v>
      </c>
      <c r="I4" s="32" t="s">
        <v>17</v>
      </c>
    </row>
    <row r="5" spans="1:9">
      <c r="A5" s="32" t="s">
        <v>18</v>
      </c>
      <c r="B5" s="33" t="s">
        <v>110</v>
      </c>
      <c r="C5" s="32" t="s">
        <v>103</v>
      </c>
      <c r="D5" s="32" t="s">
        <v>77</v>
      </c>
      <c r="E5" s="32" t="s">
        <v>20</v>
      </c>
      <c r="F5" s="32" t="s">
        <v>156</v>
      </c>
      <c r="G5" s="34">
        <v>25</v>
      </c>
      <c r="H5" s="35">
        <v>900</v>
      </c>
      <c r="I5" s="32" t="s">
        <v>9</v>
      </c>
    </row>
    <row r="6" spans="1:9">
      <c r="A6" s="32" t="s">
        <v>21</v>
      </c>
      <c r="B6" s="33" t="s">
        <v>111</v>
      </c>
      <c r="C6" s="32" t="s">
        <v>103</v>
      </c>
      <c r="D6" s="32" t="s">
        <v>22</v>
      </c>
      <c r="E6" s="32" t="s">
        <v>23</v>
      </c>
      <c r="F6" s="32" t="s">
        <v>157</v>
      </c>
      <c r="G6" s="34">
        <v>20</v>
      </c>
      <c r="H6" s="35">
        <v>70</v>
      </c>
      <c r="I6" s="32" t="s">
        <v>184</v>
      </c>
    </row>
    <row r="7" spans="1:9">
      <c r="A7" s="32" t="s">
        <v>24</v>
      </c>
      <c r="B7" s="33" t="s">
        <v>112</v>
      </c>
      <c r="C7" s="32" t="s">
        <v>113</v>
      </c>
      <c r="D7" s="32" t="s">
        <v>25</v>
      </c>
      <c r="E7" s="32" t="s">
        <v>26</v>
      </c>
      <c r="F7" s="32" t="s">
        <v>158</v>
      </c>
      <c r="G7" s="34">
        <v>45</v>
      </c>
      <c r="H7" s="35">
        <v>297.85714285714283</v>
      </c>
      <c r="I7" s="32" t="s">
        <v>9</v>
      </c>
    </row>
    <row r="8" spans="1:9">
      <c r="A8" s="32" t="s">
        <v>28</v>
      </c>
      <c r="B8" s="33" t="s">
        <v>114</v>
      </c>
      <c r="C8" s="32" t="s">
        <v>113</v>
      </c>
      <c r="D8" s="32" t="s">
        <v>29</v>
      </c>
      <c r="E8" s="32" t="s">
        <v>30</v>
      </c>
      <c r="F8" s="32" t="s">
        <v>159</v>
      </c>
      <c r="G8" s="34">
        <v>5</v>
      </c>
      <c r="H8" s="35">
        <v>30</v>
      </c>
      <c r="I8" s="32" t="s">
        <v>13</v>
      </c>
    </row>
    <row r="9" spans="1:9">
      <c r="A9" s="32" t="s">
        <v>31</v>
      </c>
      <c r="B9" s="33" t="s">
        <v>115</v>
      </c>
      <c r="C9" s="32" t="s">
        <v>113</v>
      </c>
      <c r="D9" s="32" t="s">
        <v>32</v>
      </c>
      <c r="E9" s="32" t="s">
        <v>33</v>
      </c>
      <c r="F9" s="32" t="s">
        <v>160</v>
      </c>
      <c r="G9" s="34">
        <v>35</v>
      </c>
      <c r="H9" s="35">
        <v>90</v>
      </c>
      <c r="I9" s="32" t="s">
        <v>17</v>
      </c>
    </row>
    <row r="10" spans="1:9">
      <c r="A10" s="32" t="s">
        <v>34</v>
      </c>
      <c r="B10" s="33" t="s">
        <v>116</v>
      </c>
      <c r="C10" s="32" t="s">
        <v>113</v>
      </c>
      <c r="D10" s="32" t="s">
        <v>35</v>
      </c>
      <c r="E10" s="32" t="s">
        <v>36</v>
      </c>
      <c r="F10" s="32" t="s">
        <v>161</v>
      </c>
      <c r="G10" s="34">
        <v>50</v>
      </c>
      <c r="H10" s="35">
        <v>500</v>
      </c>
      <c r="I10" s="32" t="s">
        <v>9</v>
      </c>
    </row>
    <row r="11" spans="1:9">
      <c r="A11" s="32" t="s">
        <v>37</v>
      </c>
      <c r="B11" s="33" t="s">
        <v>117</v>
      </c>
      <c r="C11" s="32" t="s">
        <v>113</v>
      </c>
      <c r="D11" s="32" t="s">
        <v>38</v>
      </c>
      <c r="E11" s="32" t="s">
        <v>39</v>
      </c>
      <c r="F11" s="32" t="s">
        <v>162</v>
      </c>
      <c r="G11" s="34">
        <v>10</v>
      </c>
      <c r="H11" s="35">
        <v>130</v>
      </c>
      <c r="I11" s="32" t="s">
        <v>40</v>
      </c>
    </row>
    <row r="12" spans="1:9">
      <c r="A12" s="32" t="s">
        <v>41</v>
      </c>
      <c r="B12" s="33" t="s">
        <v>118</v>
      </c>
      <c r="C12" s="32" t="s">
        <v>119</v>
      </c>
      <c r="D12" s="32" t="s">
        <v>42</v>
      </c>
      <c r="E12" s="32" t="s">
        <v>43</v>
      </c>
      <c r="F12" s="32" t="s">
        <v>163</v>
      </c>
      <c r="G12" s="34">
        <v>25</v>
      </c>
      <c r="H12" s="35">
        <v>950</v>
      </c>
      <c r="I12" s="32" t="s">
        <v>9</v>
      </c>
    </row>
    <row r="13" spans="1:9">
      <c r="A13" s="32" t="s">
        <v>44</v>
      </c>
      <c r="B13" s="33" t="s">
        <v>120</v>
      </c>
      <c r="C13" s="32" t="s">
        <v>121</v>
      </c>
      <c r="D13" s="32" t="s">
        <v>11</v>
      </c>
      <c r="E13" s="32" t="s">
        <v>30</v>
      </c>
      <c r="F13" s="32" t="s">
        <v>164</v>
      </c>
      <c r="G13" s="34">
        <v>40</v>
      </c>
      <c r="H13" s="35">
        <v>90</v>
      </c>
      <c r="I13" s="32" t="s">
        <v>184</v>
      </c>
    </row>
    <row r="14" spans="1:9">
      <c r="A14" s="32" t="s">
        <v>45</v>
      </c>
      <c r="B14" s="33" t="s">
        <v>122</v>
      </c>
      <c r="C14" s="32" t="s">
        <v>123</v>
      </c>
      <c r="D14" s="32" t="s">
        <v>15</v>
      </c>
      <c r="E14" s="32" t="s">
        <v>46</v>
      </c>
      <c r="F14" s="32" t="s">
        <v>165</v>
      </c>
      <c r="G14" s="34">
        <v>35</v>
      </c>
      <c r="H14" s="35">
        <v>120</v>
      </c>
      <c r="I14" s="32" t="s">
        <v>184</v>
      </c>
    </row>
    <row r="15" spans="1:9">
      <c r="A15" s="32" t="s">
        <v>47</v>
      </c>
      <c r="B15" s="33" t="s">
        <v>124</v>
      </c>
      <c r="C15" s="32" t="s">
        <v>125</v>
      </c>
      <c r="D15" s="32" t="s">
        <v>48</v>
      </c>
      <c r="E15" s="32" t="s">
        <v>49</v>
      </c>
      <c r="F15" s="32" t="s">
        <v>166</v>
      </c>
      <c r="G15" s="34">
        <v>15</v>
      </c>
      <c r="H15" s="35">
        <v>150</v>
      </c>
      <c r="I15" s="32" t="s">
        <v>9</v>
      </c>
    </row>
    <row r="16" spans="1:9">
      <c r="A16" s="32" t="s">
        <v>50</v>
      </c>
      <c r="B16" s="33" t="s">
        <v>126</v>
      </c>
      <c r="C16" s="32" t="s">
        <v>127</v>
      </c>
      <c r="D16" s="32" t="s">
        <v>25</v>
      </c>
      <c r="E16" s="32" t="s">
        <v>52</v>
      </c>
      <c r="F16" s="32" t="s">
        <v>167</v>
      </c>
      <c r="G16" s="34">
        <v>20</v>
      </c>
      <c r="H16" s="35">
        <v>250</v>
      </c>
      <c r="I16" s="32" t="s">
        <v>9</v>
      </c>
    </row>
    <row r="17" spans="1:9">
      <c r="A17" s="32" t="s">
        <v>53</v>
      </c>
      <c r="B17" s="33" t="s">
        <v>128</v>
      </c>
      <c r="C17" s="32" t="s">
        <v>125</v>
      </c>
      <c r="D17" s="32" t="s">
        <v>54</v>
      </c>
      <c r="E17" s="32" t="s">
        <v>55</v>
      </c>
      <c r="F17" s="32" t="s">
        <v>168</v>
      </c>
      <c r="G17" s="34">
        <v>35</v>
      </c>
      <c r="H17" s="35">
        <v>50</v>
      </c>
      <c r="I17" s="32" t="s">
        <v>56</v>
      </c>
    </row>
    <row r="18" spans="1:9">
      <c r="A18" s="32" t="s">
        <v>57</v>
      </c>
      <c r="B18" s="33" t="s">
        <v>129</v>
      </c>
      <c r="C18" s="32" t="s">
        <v>130</v>
      </c>
      <c r="D18" s="32" t="s">
        <v>48</v>
      </c>
      <c r="E18" s="32" t="s">
        <v>58</v>
      </c>
      <c r="F18" s="32" t="s">
        <v>169</v>
      </c>
      <c r="G18" s="34">
        <v>15</v>
      </c>
      <c r="H18" s="35">
        <v>160</v>
      </c>
      <c r="I18" s="32" t="s">
        <v>9</v>
      </c>
    </row>
    <row r="19" spans="1:9">
      <c r="A19" s="32" t="s">
        <v>59</v>
      </c>
      <c r="B19" s="33" t="s">
        <v>131</v>
      </c>
      <c r="C19" s="32" t="s">
        <v>132</v>
      </c>
      <c r="D19" s="32" t="s">
        <v>42</v>
      </c>
      <c r="E19" s="32" t="s">
        <v>60</v>
      </c>
      <c r="F19" s="32" t="s">
        <v>170</v>
      </c>
      <c r="G19" s="34">
        <v>10</v>
      </c>
      <c r="H19" s="35">
        <v>980</v>
      </c>
      <c r="I19" s="32" t="s">
        <v>9</v>
      </c>
    </row>
    <row r="20" spans="1:9">
      <c r="A20" s="32" t="s">
        <v>61</v>
      </c>
      <c r="B20" s="33" t="s">
        <v>133</v>
      </c>
      <c r="C20" s="32" t="s">
        <v>113</v>
      </c>
      <c r="D20" s="32" t="s">
        <v>62</v>
      </c>
      <c r="E20" s="32" t="s">
        <v>63</v>
      </c>
      <c r="F20" s="32" t="s">
        <v>171</v>
      </c>
      <c r="G20" s="34">
        <v>15</v>
      </c>
      <c r="H20" s="35">
        <v>150</v>
      </c>
      <c r="I20" s="32" t="s">
        <v>13</v>
      </c>
    </row>
    <row r="21" spans="1:9">
      <c r="A21" s="32" t="s">
        <v>64</v>
      </c>
      <c r="B21" s="33" t="s">
        <v>134</v>
      </c>
      <c r="C21" s="32" t="s">
        <v>103</v>
      </c>
      <c r="D21" s="32" t="s">
        <v>65</v>
      </c>
      <c r="E21" s="32" t="s">
        <v>66</v>
      </c>
      <c r="F21" s="32" t="s">
        <v>172</v>
      </c>
      <c r="G21" s="34">
        <v>10</v>
      </c>
      <c r="H21" s="35">
        <v>297.85714285714283</v>
      </c>
      <c r="I21" s="32" t="s">
        <v>40</v>
      </c>
    </row>
    <row r="22" spans="1:9">
      <c r="A22" s="32" t="s">
        <v>67</v>
      </c>
      <c r="B22" s="33" t="s">
        <v>135</v>
      </c>
      <c r="C22" s="32" t="s">
        <v>136</v>
      </c>
      <c r="D22" s="32" t="s">
        <v>68</v>
      </c>
      <c r="E22" s="32" t="s">
        <v>69</v>
      </c>
      <c r="F22" s="32" t="s">
        <v>173</v>
      </c>
      <c r="G22" s="34">
        <v>50</v>
      </c>
      <c r="H22" s="35">
        <v>700</v>
      </c>
      <c r="I22" s="32" t="s">
        <v>9</v>
      </c>
    </row>
    <row r="23" spans="1:9">
      <c r="A23" s="32" t="s">
        <v>70</v>
      </c>
      <c r="B23" s="33" t="s">
        <v>137</v>
      </c>
      <c r="C23" s="32" t="s">
        <v>125</v>
      </c>
      <c r="D23" s="32" t="s">
        <v>71</v>
      </c>
      <c r="E23" s="32" t="s">
        <v>72</v>
      </c>
      <c r="F23" s="32" t="s">
        <v>174</v>
      </c>
      <c r="G23" s="34">
        <v>20</v>
      </c>
      <c r="H23" s="35">
        <v>80</v>
      </c>
      <c r="I23" s="32" t="s">
        <v>17</v>
      </c>
    </row>
    <row r="24" spans="1:9">
      <c r="A24" s="32" t="s">
        <v>73</v>
      </c>
      <c r="B24" s="33" t="s">
        <v>114</v>
      </c>
      <c r="C24" s="32" t="s">
        <v>138</v>
      </c>
      <c r="D24" s="32" t="s">
        <v>74</v>
      </c>
      <c r="E24" s="32" t="s">
        <v>75</v>
      </c>
      <c r="F24" s="32" t="s">
        <v>175</v>
      </c>
      <c r="G24" s="34">
        <v>30</v>
      </c>
      <c r="H24" s="35">
        <v>150</v>
      </c>
      <c r="I24" s="32" t="s">
        <v>184</v>
      </c>
    </row>
    <row r="25" spans="1:9">
      <c r="A25" s="32" t="s">
        <v>76</v>
      </c>
      <c r="B25" s="33" t="s">
        <v>139</v>
      </c>
      <c r="C25" s="32" t="s">
        <v>125</v>
      </c>
      <c r="D25" s="32" t="s">
        <v>77</v>
      </c>
      <c r="E25" s="32" t="s">
        <v>78</v>
      </c>
      <c r="F25" s="32" t="s">
        <v>176</v>
      </c>
      <c r="G25" s="34">
        <v>45</v>
      </c>
      <c r="H25" s="35">
        <v>800</v>
      </c>
      <c r="I25" s="32" t="s">
        <v>9</v>
      </c>
    </row>
    <row r="26" spans="1:9">
      <c r="A26" s="32" t="s">
        <v>79</v>
      </c>
      <c r="B26" s="33" t="s">
        <v>140</v>
      </c>
      <c r="C26" s="32" t="s">
        <v>125</v>
      </c>
      <c r="D26" s="32" t="s">
        <v>62</v>
      </c>
      <c r="E26" s="32" t="s">
        <v>80</v>
      </c>
      <c r="F26" s="32" t="s">
        <v>177</v>
      </c>
      <c r="G26" s="34">
        <v>25</v>
      </c>
      <c r="H26" s="35">
        <v>297.85714285714283</v>
      </c>
      <c r="I26" s="32" t="s">
        <v>13</v>
      </c>
    </row>
    <row r="27" spans="1:9">
      <c r="A27" s="32" t="s">
        <v>81</v>
      </c>
      <c r="B27" s="33" t="s">
        <v>141</v>
      </c>
      <c r="C27" s="32" t="s">
        <v>125</v>
      </c>
      <c r="D27" s="32" t="s">
        <v>32</v>
      </c>
      <c r="E27" s="32" t="s">
        <v>82</v>
      </c>
      <c r="F27" s="32" t="s">
        <v>178</v>
      </c>
      <c r="G27" s="34">
        <v>40</v>
      </c>
      <c r="H27" s="35">
        <v>400</v>
      </c>
      <c r="I27" s="32" t="s">
        <v>17</v>
      </c>
    </row>
    <row r="28" spans="1:9">
      <c r="A28" s="32" t="s">
        <v>83</v>
      </c>
      <c r="B28" s="33" t="s">
        <v>142</v>
      </c>
      <c r="C28" s="32" t="s">
        <v>125</v>
      </c>
      <c r="D28" s="32" t="s">
        <v>84</v>
      </c>
      <c r="E28" s="32" t="s">
        <v>85</v>
      </c>
      <c r="F28" s="32" t="s">
        <v>179</v>
      </c>
      <c r="G28" s="34">
        <v>30</v>
      </c>
      <c r="H28" s="35">
        <v>60</v>
      </c>
      <c r="I28" s="32" t="s">
        <v>13</v>
      </c>
    </row>
    <row r="29" spans="1:9">
      <c r="A29" s="32" t="s">
        <v>86</v>
      </c>
      <c r="B29" s="33" t="s">
        <v>143</v>
      </c>
      <c r="C29" s="32" t="s">
        <v>125</v>
      </c>
      <c r="D29" s="32" t="s">
        <v>87</v>
      </c>
      <c r="E29" s="32" t="s">
        <v>88</v>
      </c>
      <c r="F29" s="32" t="s">
        <v>180</v>
      </c>
      <c r="G29" s="34">
        <v>10</v>
      </c>
      <c r="H29" s="35">
        <v>40</v>
      </c>
      <c r="I29" s="32" t="s">
        <v>17</v>
      </c>
    </row>
    <row r="30" spans="1:9">
      <c r="A30" s="32" t="s">
        <v>89</v>
      </c>
      <c r="B30" s="33" t="s">
        <v>144</v>
      </c>
      <c r="C30" s="32" t="s">
        <v>125</v>
      </c>
      <c r="D30" s="32" t="s">
        <v>74</v>
      </c>
      <c r="E30" s="32" t="s">
        <v>90</v>
      </c>
      <c r="F30" s="32" t="s">
        <v>181</v>
      </c>
      <c r="G30" s="34">
        <v>5</v>
      </c>
      <c r="H30" s="35">
        <v>130</v>
      </c>
      <c r="I30" s="32" t="s">
        <v>9</v>
      </c>
    </row>
    <row r="31" spans="1:9">
      <c r="A31" s="32" t="s">
        <v>91</v>
      </c>
      <c r="B31" s="33" t="s">
        <v>145</v>
      </c>
      <c r="C31" s="32" t="s">
        <v>125</v>
      </c>
      <c r="D31" s="32" t="s">
        <v>92</v>
      </c>
      <c r="E31" s="32" t="s">
        <v>93</v>
      </c>
      <c r="F31" s="32" t="s">
        <v>182</v>
      </c>
      <c r="G31" s="34">
        <v>50</v>
      </c>
      <c r="H31" s="35">
        <v>50</v>
      </c>
      <c r="I31" s="32" t="s">
        <v>13</v>
      </c>
    </row>
    <row r="32" spans="1:9">
      <c r="A32" s="32" t="s">
        <v>94</v>
      </c>
      <c r="B32" s="33" t="s">
        <v>146</v>
      </c>
      <c r="C32" s="32" t="s">
        <v>147</v>
      </c>
      <c r="D32" s="32" t="s">
        <v>95</v>
      </c>
      <c r="E32" s="32" t="s">
        <v>96</v>
      </c>
      <c r="F32" s="32" t="s">
        <v>183</v>
      </c>
      <c r="G32" s="34">
        <v>20</v>
      </c>
      <c r="H32" s="35">
        <v>100</v>
      </c>
      <c r="I32" s="32" t="s">
        <v>56</v>
      </c>
    </row>
  </sheetData>
  <autoFilter ref="A1:I1" xr:uid="{74974126-2592-4D08-B1A9-E249A264CF73}"/>
  <conditionalFormatting sqref="H2:H3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{0B7489A7-6C87-4D8D-BA1D-FE48E0674D9F}</x14:id>
        </ext>
      </extLst>
    </cfRule>
  </conditionalFormatting>
  <conditionalFormatting sqref="I1 I3:I1048576">
    <cfRule type="expression" priority="7">
      <formula>$I$2= Electronics</formula>
    </cfRule>
  </conditionalFormatting>
  <conditionalFormatting sqref="I3:I32">
    <cfRule type="expression" dxfId="3" priority="5">
      <formula>I3="+$I$2"+$I$2</formula>
    </cfRule>
    <cfRule type="expression" dxfId="2" priority="6">
      <formula>$I$2</formula>
    </cfRule>
  </conditionalFormatting>
  <conditionalFormatting sqref="I1 I3:I1048576">
    <cfRule type="expression" dxfId="1" priority="4">
      <formula>I2="+$I$2"</formula>
    </cfRule>
  </conditionalFormatting>
  <conditionalFormatting sqref="I2:I32">
    <cfRule type="expression" dxfId="0" priority="1">
      <formula>I2="Electronics"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7489A7-6C87-4D8D-BA1D-FE48E0674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Working sheet</vt:lpstr>
      <vt:lpstr>Final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2026-07-23T14:43:37Z</dcterms:created>
  <dcterms:modified xsi:type="dcterms:W3CDTF">2026-09-01T20:02:36Z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